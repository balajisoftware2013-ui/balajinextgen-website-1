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👤 Users" sheetId="2" state="visible" r:id="rId2"/>
    <sheet xmlns:r="http://schemas.openxmlformats.org/officeDocument/2006/relationships" name="🏦 Loans" sheetId="3" state="visible" r:id="rId3"/>
    <sheet xmlns:r="http://schemas.openxmlformats.org/officeDocument/2006/relationships" name="📋 Bills" sheetId="4" state="visible" r:id="rId4"/>
    <sheet xmlns:r="http://schemas.openxmlformats.org/officeDocument/2006/relationships" name="🛡️ Insurance" sheetId="5" state="visible" r:id="rId5"/>
    <sheet xmlns:r="http://schemas.openxmlformats.org/officeDocument/2006/relationships" name="📈 Investments" sheetId="6" state="visible" r:id="rId6"/>
    <sheet xmlns:r="http://schemas.openxmlformats.org/officeDocument/2006/relationships" name="💰 Assets" sheetId="7" state="visible" r:id="rId7"/>
    <sheet xmlns:r="http://schemas.openxmlformats.org/officeDocument/2006/relationships" name="💳 Credit Cards" sheetId="8" state="visible" r:id="rId8"/>
    <sheet xmlns:r="http://schemas.openxmlformats.org/officeDocument/2006/relationships" name="🔄 Subscriptions" sheetId="9" state="visible" r:id="rId9"/>
    <sheet xmlns:r="http://schemas.openxmlformats.org/officeDocument/2006/relationships" name="💵 Transactions" sheetId="10" state="visible" r:id="rId10"/>
    <sheet xmlns:r="http://schemas.openxmlformats.org/officeDocument/2006/relationships" name="🎯 Goals" sheetId="11" state="visible" r:id="rId11"/>
    <sheet xmlns:r="http://schemas.openxmlformats.org/officeDocument/2006/relationships" name="📁 Documents" sheetId="12" state="visible" r:id="rId12"/>
    <sheet xmlns:r="http://schemas.openxmlformats.org/officeDocument/2006/relationships" name="👨‍👩‍👧‍👦 Family" sheetId="13" state="visible" r:id="rId13"/>
    <sheet xmlns:r="http://schemas.openxmlformats.org/officeDocument/2006/relationships" name="📊 Budg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 &quot;days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A7060"/>
      <sz val="10"/>
    </font>
    <font>
      <name val="Arial"/>
      <b val="1"/>
      <color rgb="009A7060"/>
      <sz val="9"/>
    </font>
    <font>
      <name val="Arial"/>
      <b val="1"/>
      <color rgb="00FFFFFF"/>
      <sz val="10"/>
    </font>
    <font>
      <name val="Arial"/>
      <b val="1"/>
      <color rgb="00FF7A1A"/>
      <sz val="14"/>
    </font>
    <font>
      <name val="Arial"/>
      <b val="1"/>
      <color rgb="0010B981"/>
      <sz val="14"/>
    </font>
    <font>
      <name val="Arial"/>
      <b val="1"/>
      <color rgb="00EF4444"/>
      <sz val="14"/>
    </font>
    <font>
      <name val="Arial"/>
      <b val="1"/>
      <color rgb="003B82F6"/>
      <sz val="14"/>
    </font>
    <font>
      <name val="Arial"/>
      <b val="1"/>
      <color rgb="008B5CF6"/>
      <sz val="14"/>
    </font>
    <font>
      <name val="Arial"/>
      <b val="1"/>
      <color rgb="00F4A01C"/>
      <sz val="14"/>
    </font>
    <font>
      <name val="Arial"/>
      <i val="1"/>
      <color rgb="009A7060"/>
      <sz val="9"/>
    </font>
    <font>
      <name val="Arial"/>
      <color rgb="002D1A10"/>
      <sz val="10"/>
    </font>
    <font>
      <name val="Arial"/>
      <b val="1"/>
      <color rgb="002D1A10"/>
      <sz val="10"/>
    </font>
    <font>
      <name val="Arial"/>
      <b val="1"/>
      <color rgb="00FF7A1A"/>
      <sz val="10"/>
    </font>
    <font>
      <name val="Arial"/>
      <b val="1"/>
      <color rgb="008B5CF6"/>
      <sz val="10"/>
    </font>
    <font>
      <name val="Arial"/>
      <b val="1"/>
      <color rgb="0010B981"/>
      <sz val="10"/>
    </font>
    <font>
      <name val="Arial"/>
      <b val="1"/>
      <color rgb="00EF4444"/>
      <sz val="10"/>
    </font>
    <font>
      <name val="Arial"/>
      <b val="1"/>
      <color rgb="00FFFFFF"/>
      <sz val="11"/>
    </font>
    <font>
      <name val="Arial"/>
      <b val="1"/>
      <color rgb="00FF7A1A"/>
      <sz val="13"/>
    </font>
    <font>
      <name val="Arial"/>
      <b val="1"/>
      <color rgb="00F4A01C"/>
      <sz val="10"/>
    </font>
    <font>
      <name val="Arial"/>
      <b val="1"/>
      <color rgb="00E8590A"/>
      <sz val="10"/>
    </font>
    <font>
      <name val="Arial"/>
      <b val="1"/>
      <color rgb="00FF7A1A"/>
      <sz val="11"/>
    </font>
  </fonts>
  <fills count="12">
    <fill>
      <patternFill/>
    </fill>
    <fill>
      <patternFill patternType="gray125"/>
    </fill>
    <fill>
      <patternFill patternType="solid">
        <fgColor rgb="00FF7A1A"/>
      </patternFill>
    </fill>
    <fill>
      <patternFill patternType="solid">
        <fgColor rgb="00FFF0E5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3B82F6"/>
      </patternFill>
    </fill>
    <fill>
      <patternFill patternType="solid">
        <fgColor rgb="008B5CF6"/>
      </patternFill>
    </fill>
    <fill>
      <patternFill patternType="solid">
        <fgColor rgb="00F4A01C"/>
      </patternFill>
    </fill>
    <fill>
      <patternFill patternType="solid">
        <fgColor rgb="00E8590A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  <xf numFmtId="164" fontId="7" fillId="3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9" fillId="3" borderId="0" applyAlignment="1" pivotButton="0" quotePrefix="0" xfId="0">
      <alignment horizontal="center" vertical="center" wrapText="1"/>
    </xf>
    <xf numFmtId="164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3" borderId="0" pivotButton="0" quotePrefix="0" xfId="0"/>
    <xf numFmtId="164" fontId="14" fillId="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15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left" vertical="center" wrapText="1"/>
    </xf>
    <xf numFmtId="165" fontId="12" fillId="10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left" vertical="center" wrapText="1"/>
    </xf>
    <xf numFmtId="164" fontId="16" fillId="3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17" fillId="3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164" fontId="19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20" fillId="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21" fillId="3" borderId="0" applyAlignment="1" pivotButton="0" quotePrefix="0" xfId="0">
      <alignment horizontal="center" vertical="center" wrapText="1"/>
    </xf>
    <xf numFmtId="164" fontId="22" fillId="3" borderId="0" applyAlignment="1" pivotButton="0" quotePrefix="0" xfId="0">
      <alignment horizontal="center" vertical="center" wrapText="1"/>
    </xf>
    <xf numFmtId="166" fontId="12" fillId="10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" customWidth="1" min="7" max="7"/>
    <col width="5" customWidth="1" min="8" max="8"/>
  </cols>
  <sheetData>
    <row r="1" ht="36" customHeight="1">
      <c r="A1" s="1" t="inlineStr">
        <is>
          <t>WealthPilot 360 — Financial Dashboard</t>
        </is>
      </c>
    </row>
    <row r="2" ht="20" customHeight="1">
      <c r="A2" s="2" t="inlineStr">
        <is>
          <t>Personal CFO · Auto-Summary from all sheets</t>
        </is>
      </c>
    </row>
    <row r="4" ht="18" customHeight="1">
      <c r="A4" s="3" t="inlineStr">
        <is>
          <t>KEY PERFORMANCE INDICATORS</t>
        </is>
      </c>
    </row>
    <row r="5" ht="22" customHeight="1">
      <c r="A5" s="4" t="inlineStr">
        <is>
          <t>💎 Net Worth</t>
        </is>
      </c>
      <c r="D5" s="5" t="inlineStr">
        <is>
          <t>📈 Total Investments</t>
        </is>
      </c>
      <c r="G5" s="6" t="inlineStr">
        <is>
          <t>🏦 Total Loan O/S</t>
        </is>
      </c>
    </row>
    <row r="6" ht="28" customHeight="1">
      <c r="A6" s="7">
        <f>SUM('💰 Assets'!C:C)-SUM('💰 Assets'!D:D)-SUM('🏦 Loans'!E:E)</f>
        <v/>
      </c>
      <c r="D6" s="8">
        <f>SUM('📈 Investments'!D:D)</f>
        <v/>
      </c>
      <c r="G6" s="9">
        <f>SUM('🏦 Loans'!E:E)</f>
        <v/>
      </c>
    </row>
    <row r="8" ht="22" customHeight="1">
      <c r="A8" s="10" t="inlineStr">
        <is>
          <t>📋 Monthly EMI</t>
        </is>
      </c>
      <c r="D8" s="11" t="inlineStr">
        <is>
          <t>🛡️ Insurance Premium</t>
        </is>
      </c>
      <c r="G8" s="12" t="inlineStr">
        <is>
          <t>💳 CC Outstanding</t>
        </is>
      </c>
    </row>
    <row r="9" ht="28" customHeight="1">
      <c r="A9" s="13">
        <f>SUM('🏦 Loans'!F:F)</f>
        <v/>
      </c>
      <c r="D9" s="14">
        <f>SUM('🛡️ Insurance'!D:D)</f>
        <v/>
      </c>
      <c r="G9" s="15">
        <f>SUM('💳 Credit Cards'!D:D)</f>
        <v/>
      </c>
    </row>
    <row r="12">
      <c r="A12" s="16" t="inlineStr">
        <is>
          <t>ℹ️  All values above auto-calculate from the data sheets. Fill in each sheet below to update this dashboard.</t>
        </is>
      </c>
    </row>
  </sheetData>
  <mergeCells count="16">
    <mergeCell ref="D8:E8"/>
    <mergeCell ref="A4:H4"/>
    <mergeCell ref="D6:E6"/>
    <mergeCell ref="A12:H12"/>
    <mergeCell ref="G8:H8"/>
    <mergeCell ref="G9:H9"/>
    <mergeCell ref="A2:H2"/>
    <mergeCell ref="D5:E5"/>
    <mergeCell ref="A5:B5"/>
    <mergeCell ref="G5:H5"/>
    <mergeCell ref="G6:H6"/>
    <mergeCell ref="A1:H1"/>
    <mergeCell ref="A9:B9"/>
    <mergeCell ref="D9:E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8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 ht="36" customHeight="1">
      <c r="A1" s="17" t="inlineStr">
        <is>
          <t>WealthPilot 360 — User Registry</t>
        </is>
      </c>
    </row>
    <row r="2" ht="20" customHeight="1">
      <c r="A2" s="2" t="inlineStr">
        <is>
          <t>All registered users &amp; account details</t>
        </is>
      </c>
    </row>
    <row r="4" ht="30" customHeight="1">
      <c r="A4" s="18" t="inlineStr">
        <is>
          <t>User ID</t>
        </is>
      </c>
      <c r="B4" s="18" t="inlineStr">
        <is>
          <t>Full Name</t>
        </is>
      </c>
      <c r="C4" s="18" t="inlineStr">
        <is>
          <t>Mobile</t>
        </is>
      </c>
      <c r="D4" s="18" t="inlineStr">
        <is>
          <t>Email</t>
        </is>
      </c>
      <c r="E4" s="18" t="inlineStr">
        <is>
          <t>Password (hashed)</t>
        </is>
      </c>
      <c r="F4" s="18" t="inlineStr">
        <is>
          <t>Registered On</t>
        </is>
      </c>
      <c r="G4" s="18" t="inlineStr">
        <is>
          <t>Last Login</t>
        </is>
      </c>
      <c r="H4" s="18" t="inlineStr">
        <is>
          <t>Plan</t>
        </is>
      </c>
    </row>
    <row r="5">
      <c r="A5" s="19" t="inlineStr">
        <is>
          <t>suman123</t>
        </is>
      </c>
      <c r="B5" s="19" t="inlineStr">
        <is>
          <t>Suman</t>
        </is>
      </c>
      <c r="C5" s="19" t="inlineStr">
        <is>
          <t>9832014403</t>
        </is>
      </c>
      <c r="D5" s="19" t="inlineStr">
        <is>
          <t>suman@example.com</t>
        </is>
      </c>
      <c r="E5" s="19" t="inlineStr">
        <is>
          <t>••••••••</t>
        </is>
      </c>
      <c r="F5" s="19" t="inlineStr">
        <is>
          <t>28-Jun-2026</t>
        </is>
      </c>
      <c r="G5" s="19" t="inlineStr">
        <is>
          <t>28-Jun-2026</t>
        </is>
      </c>
      <c r="H5" s="19" t="inlineStr">
        <is>
          <t>Premium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18" customWidth="1" min="5" max="5"/>
    <col width="18" customWidth="1" min="6" max="6"/>
    <col width="14" customWidth="1" min="7" max="7"/>
    <col width="16" customWidth="1" min="8" max="8"/>
    <col width="12" customWidth="1" min="9" max="9"/>
    <col width="20" customWidth="1" min="10" max="10"/>
  </cols>
  <sheetData>
    <row r="1" ht="36" customHeight="1">
      <c r="A1" s="1" t="inlineStr">
        <is>
          <t>WealthPilot 360 — Loans &amp; EMI Tracker</t>
        </is>
      </c>
    </row>
    <row r="2" ht="20" customHeight="1">
      <c r="A2" s="2" t="inlineStr">
        <is>
          <t>Track all home, car, personal &amp; other loans</t>
        </is>
      </c>
    </row>
    <row r="4" ht="30" customHeight="1">
      <c r="A4" s="18" t="inlineStr">
        <is>
          <t>Loan Name</t>
        </is>
      </c>
      <c r="B4" s="18" t="inlineStr">
        <is>
          <t>Bank / Lender</t>
        </is>
      </c>
      <c r="C4" s="18" t="inlineStr">
        <is>
          <t>Loan Type</t>
        </is>
      </c>
      <c r="D4" s="18" t="inlineStr">
        <is>
          <t>Original Amount (₹)</t>
        </is>
      </c>
      <c r="E4" s="18" t="inlineStr">
        <is>
          <t>Outstanding (₹)</t>
        </is>
      </c>
      <c r="F4" s="18" t="inlineStr">
        <is>
          <t>Monthly EMI (₹)</t>
        </is>
      </c>
      <c r="G4" s="18" t="inlineStr">
        <is>
          <t>Interest Rate (%)</t>
        </is>
      </c>
      <c r="H4" s="18" t="inlineStr">
        <is>
          <t>EMI Due Date</t>
        </is>
      </c>
      <c r="I4" s="18" t="inlineStr">
        <is>
          <t>User ID</t>
        </is>
      </c>
      <c r="J4" s="18" t="inlineStr">
        <is>
          <t>Notes</t>
        </is>
      </c>
    </row>
    <row r="5">
      <c r="A5" s="19" t="inlineStr">
        <is>
          <t>Home Loan</t>
        </is>
      </c>
      <c r="B5" s="19" t="inlineStr">
        <is>
          <t>SBI</t>
        </is>
      </c>
      <c r="C5" s="19" t="inlineStr">
        <is>
          <t>Home Loan</t>
        </is>
      </c>
      <c r="D5" s="19" t="n">
        <v>4500000</v>
      </c>
      <c r="E5" s="19" t="n">
        <v>3200000</v>
      </c>
      <c r="F5" s="19" t="n">
        <v>38000</v>
      </c>
      <c r="G5" s="19" t="n">
        <v>8.5</v>
      </c>
      <c r="H5" s="19" t="inlineStr">
        <is>
          <t>2026-07-05</t>
        </is>
      </c>
      <c r="I5" s="19" t="inlineStr">
        <is>
          <t>suman123</t>
        </is>
      </c>
      <c r="J5" s="19" t="inlineStr"/>
    </row>
    <row r="6">
      <c r="A6" s="20" t="inlineStr">
        <is>
          <t>Car Loan</t>
        </is>
      </c>
      <c r="B6" s="20" t="inlineStr">
        <is>
          <t>HDFC</t>
        </is>
      </c>
      <c r="C6" s="20" t="inlineStr">
        <is>
          <t>Car Loan</t>
        </is>
      </c>
      <c r="D6" s="20" t="n">
        <v>800000</v>
      </c>
      <c r="E6" s="20" t="n">
        <v>350000</v>
      </c>
      <c r="F6" s="20" t="n">
        <v>17500</v>
      </c>
      <c r="G6" s="20" t="n">
        <v>9.199999999999999</v>
      </c>
      <c r="H6" s="20" t="inlineStr">
        <is>
          <t>2026-07-12</t>
        </is>
      </c>
      <c r="I6" s="20" t="inlineStr">
        <is>
          <t>suman123</t>
        </is>
      </c>
      <c r="J6" s="20" t="inlineStr"/>
    </row>
    <row r="7">
      <c r="A7" s="21" t="inlineStr">
        <is>
          <t>TOTAL</t>
        </is>
      </c>
      <c r="D7" s="22">
        <f>SUM(D5:D6)</f>
        <v/>
      </c>
      <c r="E7" s="22">
        <f>SUM(E5:E6)</f>
        <v/>
      </c>
      <c r="F7" s="22">
        <f>SUM(F5:F6)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24" customWidth="1" min="8" max="8"/>
  </cols>
  <sheetData>
    <row r="1" ht="36" customHeight="1">
      <c r="A1" s="17" t="inlineStr">
        <is>
          <t>WealthPilot 360 — Bills &amp; Dues</t>
        </is>
      </c>
    </row>
    <row r="2" ht="20" customHeight="1">
      <c r="A2" s="2" t="inlineStr">
        <is>
          <t>Electricity, broadband, mobile &amp; all recurring bills</t>
        </is>
      </c>
    </row>
    <row r="4" ht="30" customHeight="1">
      <c r="A4" s="18" t="inlineStr">
        <is>
          <t>Bill Name</t>
        </is>
      </c>
      <c r="B4" s="18" t="inlineStr">
        <is>
          <t>Provider</t>
        </is>
      </c>
      <c r="C4" s="18" t="inlineStr">
        <is>
          <t>Category</t>
        </is>
      </c>
      <c r="D4" s="18" t="inlineStr">
        <is>
          <t>Amount (₹)</t>
        </is>
      </c>
      <c r="E4" s="18" t="inlineStr">
        <is>
          <t>Due Date</t>
        </is>
      </c>
      <c r="F4" s="18" t="inlineStr">
        <is>
          <t>Status</t>
        </is>
      </c>
      <c r="G4" s="18" t="inlineStr">
        <is>
          <t>User ID</t>
        </is>
      </c>
      <c r="H4" s="18" t="inlineStr">
        <is>
          <t>Notes</t>
        </is>
      </c>
    </row>
    <row r="5">
      <c r="A5" s="19" t="inlineStr">
        <is>
          <t>Electricity Bill</t>
        </is>
      </c>
      <c r="B5" s="19" t="inlineStr">
        <is>
          <t>CESC</t>
        </is>
      </c>
      <c r="C5" s="19" t="inlineStr">
        <is>
          <t>Electricity</t>
        </is>
      </c>
      <c r="D5" s="19" t="n">
        <v>2800</v>
      </c>
      <c r="E5" s="19" t="inlineStr">
        <is>
          <t>2026-07-01</t>
        </is>
      </c>
      <c r="F5" s="19" t="inlineStr">
        <is>
          <t>Pending</t>
        </is>
      </c>
      <c r="G5" s="19" t="inlineStr">
        <is>
          <t>suman123</t>
        </is>
      </c>
      <c r="H5" s="19" t="inlineStr"/>
    </row>
    <row r="6">
      <c r="A6" s="20" t="inlineStr">
        <is>
          <t>Broadband</t>
        </is>
      </c>
      <c r="B6" s="20" t="inlineStr">
        <is>
          <t>JioFiber</t>
        </is>
      </c>
      <c r="C6" s="20" t="inlineStr">
        <is>
          <t>Broadband</t>
        </is>
      </c>
      <c r="D6" s="20" t="n">
        <v>999</v>
      </c>
      <c r="E6" s="20" t="inlineStr">
        <is>
          <t>2026-07-06</t>
        </is>
      </c>
      <c r="F6" s="20" t="inlineStr">
        <is>
          <t>Pending</t>
        </is>
      </c>
      <c r="G6" s="20" t="inlineStr">
        <is>
          <t>suman123</t>
        </is>
      </c>
      <c r="H6" s="20" t="inlineStr"/>
    </row>
    <row r="7">
      <c r="A7" s="19" t="inlineStr">
        <is>
          <t>Mobile Recharge</t>
        </is>
      </c>
      <c r="B7" s="19" t="inlineStr">
        <is>
          <t>Jio</t>
        </is>
      </c>
      <c r="C7" s="19" t="inlineStr">
        <is>
          <t>Mobile</t>
        </is>
      </c>
      <c r="D7" s="19" t="n">
        <v>479</v>
      </c>
      <c r="E7" s="19" t="inlineStr">
        <is>
          <t>2026-07-04</t>
        </is>
      </c>
      <c r="F7" s="19" t="inlineStr">
        <is>
          <t>Pending</t>
        </is>
      </c>
      <c r="G7" s="19" t="inlineStr">
        <is>
          <t>suman123</t>
        </is>
      </c>
      <c r="H7" s="19" t="inlineStr"/>
    </row>
    <row r="8">
      <c r="A8" s="21" t="inlineStr">
        <is>
          <t>TOTAL</t>
        </is>
      </c>
      <c r="D8" s="22">
        <f>SUM(D5:D7)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  <col width="14" customWidth="1" min="5" max="5"/>
    <col width="18" customWidth="1" min="6" max="6"/>
    <col width="14" customWidth="1" min="7" max="7"/>
    <col width="12" customWidth="1" min="8" max="8"/>
    <col width="20" customWidth="1" min="9" max="9"/>
  </cols>
  <sheetData>
    <row r="1" ht="36" customHeight="1">
      <c r="A1" s="23" t="inlineStr">
        <is>
          <t>WealthPilot 360 — Insurance Policies</t>
        </is>
      </c>
    </row>
    <row r="2" ht="20" customHeight="1">
      <c r="A2" s="2" t="inlineStr">
        <is>
          <t>Life, health, motor &amp; all insurance policies</t>
        </is>
      </c>
    </row>
    <row r="4" ht="30" customHeight="1">
      <c r="A4" s="24" t="inlineStr">
        <is>
          <t>Policy Name</t>
        </is>
      </c>
      <c r="B4" s="24" t="inlineStr">
        <is>
          <t>Type</t>
        </is>
      </c>
      <c r="C4" s="24" t="inlineStr">
        <is>
          <t>Policy Number</t>
        </is>
      </c>
      <c r="D4" s="24" t="inlineStr">
        <is>
          <t>Annual Premium (₹)</t>
        </is>
      </c>
      <c r="E4" s="24" t="inlineStr">
        <is>
          <t>Renewal Date</t>
        </is>
      </c>
      <c r="F4" s="24" t="inlineStr">
        <is>
          <t>Coverage (₹)</t>
        </is>
      </c>
      <c r="G4" s="24" t="inlineStr">
        <is>
          <t>Nominee</t>
        </is>
      </c>
      <c r="H4" s="24" t="inlineStr">
        <is>
          <t>User ID</t>
        </is>
      </c>
      <c r="I4" s="24" t="inlineStr">
        <is>
          <t>Notes</t>
        </is>
      </c>
    </row>
    <row r="5">
      <c r="A5" s="19" t="inlineStr">
        <is>
          <t>LIC Jeevan Anand</t>
        </is>
      </c>
      <c r="B5" s="19" t="inlineStr">
        <is>
          <t>Life Insurance</t>
        </is>
      </c>
      <c r="C5" s="19" t="inlineStr">
        <is>
          <t>LIC234567</t>
        </is>
      </c>
      <c r="D5" s="19" t="n">
        <v>28000</v>
      </c>
      <c r="E5" s="19" t="inlineStr">
        <is>
          <t>2026-08-12</t>
        </is>
      </c>
      <c r="F5" s="19" t="n">
        <v>5000000</v>
      </c>
      <c r="G5" s="19" t="inlineStr">
        <is>
          <t>Spouse</t>
        </is>
      </c>
      <c r="H5" s="19" t="inlineStr">
        <is>
          <t>suman123</t>
        </is>
      </c>
      <c r="I5" s="19" t="inlineStr"/>
    </row>
    <row r="6">
      <c r="A6" s="20" t="inlineStr">
        <is>
          <t>Star Health Family</t>
        </is>
      </c>
      <c r="B6" s="20" t="inlineStr">
        <is>
          <t>Health Insurance</t>
        </is>
      </c>
      <c r="C6" s="20" t="inlineStr">
        <is>
          <t>SH89012</t>
        </is>
      </c>
      <c r="D6" s="20" t="n">
        <v>22000</v>
      </c>
      <c r="E6" s="20" t="inlineStr">
        <is>
          <t>2026-09-26</t>
        </is>
      </c>
      <c r="F6" s="20" t="n">
        <v>1000000</v>
      </c>
      <c r="G6" s="20" t="inlineStr">
        <is>
          <t>Family</t>
        </is>
      </c>
      <c r="H6" s="20" t="inlineStr">
        <is>
          <t>suman123</t>
        </is>
      </c>
      <c r="I6" s="20" t="inlineStr"/>
    </row>
    <row r="7">
      <c r="A7" s="19" t="inlineStr">
        <is>
          <t>HDFC ERGO Car</t>
        </is>
      </c>
      <c r="B7" s="19" t="inlineStr">
        <is>
          <t>Motor Insurance</t>
        </is>
      </c>
      <c r="C7" s="19" t="inlineStr">
        <is>
          <t>HE45678</t>
        </is>
      </c>
      <c r="D7" s="19" t="n">
        <v>12000</v>
      </c>
      <c r="E7" s="19" t="inlineStr">
        <is>
          <t>2026-10-26</t>
        </is>
      </c>
      <c r="F7" s="19" t="n">
        <v>600000</v>
      </c>
      <c r="G7" s="19" t="inlineStr"/>
      <c r="H7" s="19" t="inlineStr">
        <is>
          <t>suman123</t>
        </is>
      </c>
      <c r="I7" s="19" t="inlineStr"/>
    </row>
    <row r="8">
      <c r="A8" s="21" t="inlineStr">
        <is>
          <t>TOTAL</t>
        </is>
      </c>
      <c r="D8" s="25">
        <f>SUM(D5:D7)</f>
        <v/>
      </c>
      <c r="F8" s="25">
        <f>SUM(F5:F7)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 ht="36" customHeight="1">
      <c r="A1" s="26" t="inlineStr">
        <is>
          <t>WealthPilot 360 — Investments</t>
        </is>
      </c>
    </row>
    <row r="2" ht="20" customHeight="1">
      <c r="A2" s="2" t="inlineStr">
        <is>
          <t>Mutual Funds, SIP, Gold, PPF &amp; all investments</t>
        </is>
      </c>
    </row>
    <row r="4" ht="30" customHeight="1">
      <c r="A4" s="27" t="inlineStr">
        <is>
          <t>Investment Name</t>
        </is>
      </c>
      <c r="B4" s="27" t="inlineStr">
        <is>
          <t>Type</t>
        </is>
      </c>
      <c r="C4" s="27" t="inlineStr">
        <is>
          <t>Invested Amount (₹)</t>
        </is>
      </c>
      <c r="D4" s="27" t="inlineStr">
        <is>
          <t>Current Value (₹)</t>
        </is>
      </c>
      <c r="E4" s="27" t="inlineStr">
        <is>
          <t>Gain/Loss (₹)</t>
        </is>
      </c>
      <c r="F4" s="27" t="inlineStr">
        <is>
          <t>Return (%)</t>
        </is>
      </c>
      <c r="G4" s="27" t="inlineStr">
        <is>
          <t>User ID</t>
        </is>
      </c>
      <c r="H4" s="27" t="inlineStr">
        <is>
          <t>Notes</t>
        </is>
      </c>
    </row>
    <row r="5">
      <c r="A5" s="19" t="inlineStr">
        <is>
          <t>SBI Bluechip Fund</t>
        </is>
      </c>
      <c r="B5" s="19" t="inlineStr">
        <is>
          <t>Mutual Fund</t>
        </is>
      </c>
      <c r="C5" s="19" t="n">
        <v>200000</v>
      </c>
      <c r="D5" s="19" t="n">
        <v>248000</v>
      </c>
      <c r="E5" s="28">
        <f>D5-C5</f>
        <v/>
      </c>
      <c r="F5" s="29">
        <f>IF(C5&gt;0,(D5-C5)/C5,0)</f>
        <v/>
      </c>
      <c r="G5" s="19" t="inlineStr">
        <is>
          <t>suman123</t>
        </is>
      </c>
      <c r="H5" s="19" t="inlineStr"/>
    </row>
    <row r="6">
      <c r="A6" s="20" t="inlineStr">
        <is>
          <t>HDFC SIP</t>
        </is>
      </c>
      <c r="B6" s="20" t="inlineStr">
        <is>
          <t>SIP</t>
        </is>
      </c>
      <c r="C6" s="20" t="n">
        <v>120000</v>
      </c>
      <c r="D6" s="20" t="n">
        <v>138500</v>
      </c>
      <c r="E6" s="30">
        <f>D6-C6</f>
        <v/>
      </c>
      <c r="F6" s="31">
        <f>IF(C6&gt;0,(D6-C6)/C6,0)</f>
        <v/>
      </c>
      <c r="G6" s="20" t="inlineStr">
        <is>
          <t>suman123</t>
        </is>
      </c>
      <c r="H6" s="20" t="inlineStr"/>
    </row>
    <row r="7">
      <c r="A7" s="19" t="inlineStr">
        <is>
          <t>Sovereign Gold Bond</t>
        </is>
      </c>
      <c r="B7" s="19" t="inlineStr">
        <is>
          <t>Gold</t>
        </is>
      </c>
      <c r="C7" s="19" t="n">
        <v>50000</v>
      </c>
      <c r="D7" s="19" t="n">
        <v>61000</v>
      </c>
      <c r="E7" s="28">
        <f>D7-C7</f>
        <v/>
      </c>
      <c r="F7" s="29">
        <f>IF(C7&gt;0,(D7-C7)/C7,0)</f>
        <v/>
      </c>
      <c r="G7" s="19" t="inlineStr">
        <is>
          <t>suman123</t>
        </is>
      </c>
      <c r="H7" s="19" t="inlineStr"/>
    </row>
    <row r="8">
      <c r="A8" s="20" t="inlineStr">
        <is>
          <t>PPF Account</t>
        </is>
      </c>
      <c r="B8" s="20" t="inlineStr">
        <is>
          <t>PPF</t>
        </is>
      </c>
      <c r="C8" s="20" t="n">
        <v>150000</v>
      </c>
      <c r="D8" s="20" t="n">
        <v>168000</v>
      </c>
      <c r="E8" s="30">
        <f>D8-C8</f>
        <v/>
      </c>
      <c r="F8" s="31">
        <f>IF(C8&gt;0,(D8-C8)/C8,0)</f>
        <v/>
      </c>
      <c r="G8" s="20" t="inlineStr">
        <is>
          <t>suman123</t>
        </is>
      </c>
      <c r="H8" s="20" t="inlineStr"/>
    </row>
    <row r="9">
      <c r="A9" s="21" t="inlineStr">
        <is>
          <t>TOTAL</t>
        </is>
      </c>
      <c r="C9" s="32">
        <f>SUM(C5:C8)</f>
        <v/>
      </c>
      <c r="D9" s="32">
        <f>SUM(D5:D8)</f>
        <v/>
      </c>
      <c r="E9" s="32">
        <f>SUM(E5:E8)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2" customWidth="1" min="5" max="5"/>
    <col width="24" customWidth="1" min="6" max="6"/>
  </cols>
  <sheetData>
    <row r="1" ht="36" customHeight="1">
      <c r="A1" s="33" t="inlineStr">
        <is>
          <t>WealthPilot 360 — Assets &amp; Liabilities</t>
        </is>
      </c>
    </row>
    <row r="2" ht="20" customHeight="1">
      <c r="A2" s="2" t="inlineStr">
        <is>
          <t>Net Worth breakdown — what you own vs what you owe</t>
        </is>
      </c>
    </row>
    <row r="4" ht="30" customHeight="1">
      <c r="A4" s="34" t="inlineStr">
        <is>
          <t>Name</t>
        </is>
      </c>
      <c r="B4" s="34" t="inlineStr">
        <is>
          <t>Type (Asset/Liability)</t>
        </is>
      </c>
      <c r="C4" s="34" t="inlineStr">
        <is>
          <t>Asset Value (₹)</t>
        </is>
      </c>
      <c r="D4" s="34" t="inlineStr">
        <is>
          <t>Liability Value (₹)</t>
        </is>
      </c>
      <c r="E4" s="34" t="inlineStr">
        <is>
          <t>User ID</t>
        </is>
      </c>
      <c r="F4" s="34" t="inlineStr">
        <is>
          <t>Notes</t>
        </is>
      </c>
    </row>
    <row r="5">
      <c r="A5" s="19" t="inlineStr">
        <is>
          <t>Apartment (2BHK)</t>
        </is>
      </c>
      <c r="B5" s="19" t="inlineStr">
        <is>
          <t>Asset</t>
        </is>
      </c>
      <c r="C5" s="19" t="n">
        <v>7500000</v>
      </c>
      <c r="D5" s="19" t="n">
        <v>0</v>
      </c>
      <c r="E5" s="19" t="inlineStr">
        <is>
          <t>suman123</t>
        </is>
      </c>
      <c r="F5" s="19" t="inlineStr"/>
    </row>
    <row r="6">
      <c r="A6" s="20" t="inlineStr">
        <is>
          <t>Savings Account</t>
        </is>
      </c>
      <c r="B6" s="20" t="inlineStr">
        <is>
          <t>Asset</t>
        </is>
      </c>
      <c r="C6" s="20" t="n">
        <v>350000</v>
      </c>
      <c r="D6" s="20" t="n">
        <v>0</v>
      </c>
      <c r="E6" s="20" t="inlineStr">
        <is>
          <t>suman123</t>
        </is>
      </c>
      <c r="F6" s="20" t="inlineStr"/>
    </row>
    <row r="7">
      <c r="A7" s="19" t="inlineStr">
        <is>
          <t>FD – SBI</t>
        </is>
      </c>
      <c r="B7" s="19" t="inlineStr">
        <is>
          <t>Asset</t>
        </is>
      </c>
      <c r="C7" s="19" t="n">
        <v>500000</v>
      </c>
      <c r="D7" s="19" t="n">
        <v>0</v>
      </c>
      <c r="E7" s="19" t="inlineStr">
        <is>
          <t>suman123</t>
        </is>
      </c>
      <c r="F7" s="19" t="inlineStr"/>
    </row>
    <row r="8">
      <c r="A8" s="20" t="inlineStr">
        <is>
          <t>Personal Loan</t>
        </is>
      </c>
      <c r="B8" s="20" t="inlineStr">
        <is>
          <t>Liability</t>
        </is>
      </c>
      <c r="C8" s="20" t="n">
        <v>0</v>
      </c>
      <c r="D8" s="20" t="n">
        <v>150000</v>
      </c>
      <c r="E8" s="20" t="inlineStr">
        <is>
          <t>suman123</t>
        </is>
      </c>
      <c r="F8" s="20" t="inlineStr"/>
    </row>
    <row r="9">
      <c r="A9" s="21" t="inlineStr">
        <is>
          <t>TOTAL</t>
        </is>
      </c>
      <c r="C9" s="32">
        <f>SUM(C5:C8)</f>
        <v/>
      </c>
      <c r="D9" s="35">
        <f>SUM(D5:D8)</f>
        <v/>
      </c>
    </row>
    <row r="10">
      <c r="A10" s="36" t="inlineStr">
        <is>
          <t>NET WORTH (Assets − Liabilities)</t>
        </is>
      </c>
      <c r="C10" s="37">
        <f>C9-D9</f>
        <v/>
      </c>
    </row>
  </sheetData>
  <mergeCells count="3">
    <mergeCell ref="A2:H2"/>
    <mergeCell ref="A10:B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6" customWidth="1" min="7" max="7"/>
    <col width="12" customWidth="1" min="8" max="8"/>
  </cols>
  <sheetData>
    <row r="1" ht="36" customHeight="1">
      <c r="A1" s="38" t="inlineStr">
        <is>
          <t>WealthPilot 360 — Credit Card Manager</t>
        </is>
      </c>
    </row>
    <row r="2" ht="20" customHeight="1">
      <c r="A2" s="2" t="inlineStr">
        <is>
          <t>All credit cards, limits, outstanding &amp; due dates</t>
        </is>
      </c>
    </row>
    <row r="4" ht="30" customHeight="1">
      <c r="A4" s="39" t="inlineStr">
        <is>
          <t>Card Name</t>
        </is>
      </c>
      <c r="B4" s="39" t="inlineStr">
        <is>
          <t>Bank</t>
        </is>
      </c>
      <c r="C4" s="39" t="inlineStr">
        <is>
          <t>Credit Limit (₹)</t>
        </is>
      </c>
      <c r="D4" s="39" t="inlineStr">
        <is>
          <t>Outstanding (₹)</t>
        </is>
      </c>
      <c r="E4" s="39" t="inlineStr">
        <is>
          <t>Min Due (₹)</t>
        </is>
      </c>
      <c r="F4" s="39" t="inlineStr">
        <is>
          <t>Payment Due Date</t>
        </is>
      </c>
      <c r="G4" s="39" t="inlineStr">
        <is>
          <t>Utilization (%)</t>
        </is>
      </c>
      <c r="H4" s="39" t="inlineStr">
        <is>
          <t>User ID</t>
        </is>
      </c>
    </row>
    <row r="5">
      <c r="A5" s="19" t="inlineStr">
        <is>
          <t>HDFC Millennia</t>
        </is>
      </c>
      <c r="B5" s="19" t="inlineStr">
        <is>
          <t>HDFC Bank</t>
        </is>
      </c>
      <c r="C5" s="19" t="n">
        <v>200000</v>
      </c>
      <c r="D5" s="19" t="n">
        <v>45000</v>
      </c>
      <c r="E5" s="19" t="n">
        <v>2250</v>
      </c>
      <c r="F5" s="19" t="inlineStr">
        <is>
          <t>2026-07-08</t>
        </is>
      </c>
      <c r="G5" s="29">
        <f>IF(C5&gt;0,D5/C5,0)</f>
        <v/>
      </c>
      <c r="H5" s="19" t="inlineStr">
        <is>
          <t>suman123</t>
        </is>
      </c>
    </row>
    <row r="6">
      <c r="A6" s="20" t="inlineStr">
        <is>
          <t>SBI SimplyCLICK</t>
        </is>
      </c>
      <c r="B6" s="20" t="inlineStr">
        <is>
          <t>SBI Card</t>
        </is>
      </c>
      <c r="C6" s="20" t="n">
        <v>100000</v>
      </c>
      <c r="D6" s="20" t="n">
        <v>12000</v>
      </c>
      <c r="E6" s="20" t="n">
        <v>600</v>
      </c>
      <c r="F6" s="20" t="inlineStr">
        <is>
          <t>2026-07-13</t>
        </is>
      </c>
      <c r="G6" s="31">
        <f>IF(C6&gt;0,D6/C6,0)</f>
        <v/>
      </c>
      <c r="H6" s="20" t="inlineStr">
        <is>
          <t>suman123</t>
        </is>
      </c>
    </row>
    <row r="7">
      <c r="A7" s="21" t="inlineStr">
        <is>
          <t>TOTAL</t>
        </is>
      </c>
      <c r="C7" s="40">
        <f>SUM(C5:C6)</f>
        <v/>
      </c>
      <c r="D7" s="40">
        <f>SUM(D5:D6)</f>
        <v/>
      </c>
      <c r="E7" s="40">
        <f>SUM(E5:E6)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2" customWidth="1" min="4" max="4"/>
    <col width="16" customWidth="1" min="5" max="5"/>
    <col width="18" customWidth="1" min="6" max="6"/>
    <col width="12" customWidth="1" min="7" max="7"/>
    <col width="20" customWidth="1" min="8" max="8"/>
  </cols>
  <sheetData>
    <row r="1" ht="36" customHeight="1">
      <c r="A1" s="17" t="inlineStr">
        <is>
          <t>WealthPilot 360 — Subscription Tracker</t>
        </is>
      </c>
    </row>
    <row r="2" ht="20" customHeight="1">
      <c r="A2" s="2" t="inlineStr">
        <is>
          <t>OTT, apps, tools &amp; all recurring subscriptions</t>
        </is>
      </c>
    </row>
    <row r="4" ht="30" customHeight="1">
      <c r="A4" s="41" t="inlineStr">
        <is>
          <t>Service Name</t>
        </is>
      </c>
      <c r="B4" s="41" t="inlineStr">
        <is>
          <t>Category</t>
        </is>
      </c>
      <c r="C4" s="41" t="inlineStr">
        <is>
          <t>Amount (₹)</t>
        </is>
      </c>
      <c r="D4" s="41" t="inlineStr">
        <is>
          <t>Cycle</t>
        </is>
      </c>
      <c r="E4" s="41" t="inlineStr">
        <is>
          <t>Renewal Date</t>
        </is>
      </c>
      <c r="F4" s="41" t="inlineStr">
        <is>
          <t>Monthly Cost (₹)</t>
        </is>
      </c>
      <c r="G4" s="41" t="inlineStr">
        <is>
          <t>User ID</t>
        </is>
      </c>
      <c r="H4" s="41" t="inlineStr">
        <is>
          <t>Notes</t>
        </is>
      </c>
    </row>
    <row r="5">
      <c r="A5" s="19" t="inlineStr">
        <is>
          <t>Netflix</t>
        </is>
      </c>
      <c r="B5" s="19" t="inlineStr">
        <is>
          <t>OTT/Streaming</t>
        </is>
      </c>
      <c r="C5" s="19" t="n">
        <v>649</v>
      </c>
      <c r="D5" s="19" t="inlineStr">
        <is>
          <t>Monthly</t>
        </is>
      </c>
      <c r="E5" s="19" t="inlineStr">
        <is>
          <t>2026-07-18</t>
        </is>
      </c>
      <c r="F5" s="28">
        <f>IF(D5="Monthly",C5,IF(D5="Yearly",C5/12,IF(D5="Quarterly",C5/3,C5)))</f>
        <v/>
      </c>
      <c r="G5" s="19" t="inlineStr">
        <is>
          <t>suman123</t>
        </is>
      </c>
      <c r="H5" s="19" t="inlineStr"/>
    </row>
    <row r="6">
      <c r="A6" s="20" t="inlineStr">
        <is>
          <t>Amazon Prime</t>
        </is>
      </c>
      <c r="B6" s="20" t="inlineStr">
        <is>
          <t>OTT/Streaming</t>
        </is>
      </c>
      <c r="C6" s="20" t="n">
        <v>1499</v>
      </c>
      <c r="D6" s="20" t="inlineStr">
        <is>
          <t>Yearly</t>
        </is>
      </c>
      <c r="E6" s="20" t="inlineStr">
        <is>
          <t>2026-09-26</t>
        </is>
      </c>
      <c r="F6" s="30">
        <f>IF(D6="Monthly",C6,IF(D6="Yearly",C6/12,IF(D6="Quarterly",C6/3,C6)))</f>
        <v/>
      </c>
      <c r="G6" s="20" t="inlineStr">
        <is>
          <t>suman123</t>
        </is>
      </c>
      <c r="H6" s="20" t="inlineStr"/>
    </row>
    <row r="7">
      <c r="A7" s="19" t="inlineStr">
        <is>
          <t>ChatGPT Plus</t>
        </is>
      </c>
      <c r="B7" s="19" t="inlineStr">
        <is>
          <t>AI Tools</t>
        </is>
      </c>
      <c r="C7" s="19" t="n">
        <v>1600</v>
      </c>
      <c r="D7" s="19" t="inlineStr">
        <is>
          <t>Monthly</t>
        </is>
      </c>
      <c r="E7" s="19" t="inlineStr">
        <is>
          <t>2026-07-23</t>
        </is>
      </c>
      <c r="F7" s="28">
        <f>IF(D7="Monthly",C7,IF(D7="Yearly",C7/12,IF(D7="Quarterly",C7/3,C7)))</f>
        <v/>
      </c>
      <c r="G7" s="19" t="inlineStr">
        <is>
          <t>suman123</t>
        </is>
      </c>
      <c r="H7" s="19" t="inlineStr"/>
    </row>
    <row r="8">
      <c r="A8" s="20" t="inlineStr">
        <is>
          <t>YouTube Premium</t>
        </is>
      </c>
      <c r="B8" s="20" t="inlineStr">
        <is>
          <t>OTT/Streaming</t>
        </is>
      </c>
      <c r="C8" s="20" t="n">
        <v>189</v>
      </c>
      <c r="D8" s="20" t="inlineStr">
        <is>
          <t>Monthly</t>
        </is>
      </c>
      <c r="E8" s="20" t="inlineStr">
        <is>
          <t>2026-07-16</t>
        </is>
      </c>
      <c r="F8" s="30">
        <f>IF(D8="Monthly",C8,IF(D8="Yearly",C8/12,IF(D8="Quarterly",C8/3,C8)))</f>
        <v/>
      </c>
      <c r="G8" s="20" t="inlineStr">
        <is>
          <t>suman123</t>
        </is>
      </c>
      <c r="H8" s="20" t="inlineStr"/>
    </row>
    <row r="9">
      <c r="A9" s="21" t="inlineStr">
        <is>
          <t>TOTAL / MONTH</t>
        </is>
      </c>
      <c r="F9" s="42">
        <f>SUM(F5:F8)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 ht="36" customHeight="1">
      <c r="A1" s="26" t="inlineStr">
        <is>
          <t>WealthPilot 360 — Income &amp; Expense Ledger</t>
        </is>
      </c>
    </row>
    <row r="2" ht="20" customHeight="1">
      <c r="A2" s="2" t="inlineStr">
        <is>
          <t>Every transaction — salary, grocery, freelance, shopping etc.</t>
        </is>
      </c>
    </row>
    <row r="4" ht="30" customHeight="1">
      <c r="A4" s="27" t="inlineStr">
        <is>
          <t>Date</t>
        </is>
      </c>
      <c r="B4" s="27" t="inlineStr">
        <is>
          <t>Description</t>
        </is>
      </c>
      <c r="C4" s="27" t="inlineStr">
        <is>
          <t>Category</t>
        </is>
      </c>
      <c r="D4" s="27" t="inlineStr">
        <is>
          <t>Type</t>
        </is>
      </c>
      <c r="E4" s="27" t="inlineStr">
        <is>
          <t>Amount (₹)</t>
        </is>
      </c>
      <c r="F4" s="27" t="inlineStr">
        <is>
          <t>Month</t>
        </is>
      </c>
      <c r="G4" s="27" t="inlineStr">
        <is>
          <t>User ID</t>
        </is>
      </c>
      <c r="H4" s="27" t="inlineStr">
        <is>
          <t>Notes</t>
        </is>
      </c>
    </row>
    <row r="5">
      <c r="A5" s="19" t="inlineStr">
        <is>
          <t>2026-06-28</t>
        </is>
      </c>
      <c r="B5" s="19" t="inlineStr">
        <is>
          <t>Monthly Salary</t>
        </is>
      </c>
      <c r="C5" s="19" t="inlineStr">
        <is>
          <t>Salary</t>
        </is>
      </c>
      <c r="D5" s="19" t="inlineStr">
        <is>
          <t>Income</t>
        </is>
      </c>
      <c r="E5" s="19" t="n">
        <v>95000</v>
      </c>
      <c r="F5" s="19" t="inlineStr">
        <is>
          <t>2026-06</t>
        </is>
      </c>
      <c r="G5" s="19" t="inlineStr">
        <is>
          <t>suman123</t>
        </is>
      </c>
      <c r="H5" s="19" t="inlineStr"/>
    </row>
    <row r="6">
      <c r="A6" s="20" t="inlineStr">
        <is>
          <t>2026-06-28</t>
        </is>
      </c>
      <c r="B6" s="20" t="inlineStr">
        <is>
          <t>Grocery Shopping</t>
        </is>
      </c>
      <c r="C6" s="20" t="inlineStr">
        <is>
          <t>Food</t>
        </is>
      </c>
      <c r="D6" s="20" t="inlineStr">
        <is>
          <t>Expense</t>
        </is>
      </c>
      <c r="E6" s="20" t="n">
        <v>8500</v>
      </c>
      <c r="F6" s="20" t="inlineStr">
        <is>
          <t>2026-06</t>
        </is>
      </c>
      <c r="G6" s="20" t="inlineStr">
        <is>
          <t>suman123</t>
        </is>
      </c>
      <c r="H6" s="20" t="inlineStr"/>
    </row>
    <row r="7">
      <c r="A7" s="19" t="inlineStr">
        <is>
          <t>2026-06-28</t>
        </is>
      </c>
      <c r="B7" s="19" t="inlineStr">
        <is>
          <t>Freelance Project</t>
        </is>
      </c>
      <c r="C7" s="19" t="inlineStr">
        <is>
          <t>Business</t>
        </is>
      </c>
      <c r="D7" s="19" t="inlineStr">
        <is>
          <t>Income</t>
        </is>
      </c>
      <c r="E7" s="19" t="n">
        <v>25000</v>
      </c>
      <c r="F7" s="19" t="inlineStr">
        <is>
          <t>2026-06</t>
        </is>
      </c>
      <c r="G7" s="19" t="inlineStr">
        <is>
          <t>suman123</t>
        </is>
      </c>
      <c r="H7" s="19" t="inlineStr"/>
    </row>
    <row r="8">
      <c r="A8" s="20" t="inlineStr">
        <is>
          <t>2026-06-28</t>
        </is>
      </c>
      <c r="B8" s="20" t="inlineStr">
        <is>
          <t>Dining Out</t>
        </is>
      </c>
      <c r="C8" s="20" t="inlineStr">
        <is>
          <t>Food</t>
        </is>
      </c>
      <c r="D8" s="20" t="inlineStr">
        <is>
          <t>Expense</t>
        </is>
      </c>
      <c r="E8" s="20" t="n">
        <v>3200</v>
      </c>
      <c r="F8" s="20" t="inlineStr">
        <is>
          <t>2026-06</t>
        </is>
      </c>
      <c r="G8" s="20" t="inlineStr">
        <is>
          <t>suman123</t>
        </is>
      </c>
      <c r="H8" s="20" t="inlineStr"/>
    </row>
    <row r="9">
      <c r="A9" s="19" t="inlineStr">
        <is>
          <t>2026-06-28</t>
        </is>
      </c>
      <c r="B9" s="19" t="inlineStr">
        <is>
          <t>Amazon Shopping</t>
        </is>
      </c>
      <c r="C9" s="19" t="inlineStr">
        <is>
          <t>Shopping</t>
        </is>
      </c>
      <c r="D9" s="19" t="inlineStr">
        <is>
          <t>Expense</t>
        </is>
      </c>
      <c r="E9" s="19" t="n">
        <v>4500</v>
      </c>
      <c r="F9" s="19" t="inlineStr">
        <is>
          <t>2026-06</t>
        </is>
      </c>
      <c r="G9" s="19" t="inlineStr">
        <is>
          <t>suman123</t>
        </is>
      </c>
      <c r="H9" s="19" t="inlineStr"/>
    </row>
    <row r="10">
      <c r="A10" s="21" t="inlineStr">
        <is>
          <t>TOTAL INCOME</t>
        </is>
      </c>
      <c r="E10" s="32">
        <f>SUMIF(D5:D9,"Income",E5:E9)</f>
        <v/>
      </c>
    </row>
    <row r="11">
      <c r="A11" s="21" t="inlineStr">
        <is>
          <t>TOTAL EXPENSES</t>
        </is>
      </c>
      <c r="E11" s="35">
        <f>SUMIF(D5:D9,"Expense",E5:E9)</f>
        <v/>
      </c>
    </row>
    <row r="12">
      <c r="A12" s="21" t="inlineStr">
        <is>
          <t>NET SAVINGS</t>
        </is>
      </c>
      <c r="E12" s="43">
        <f>E10-E11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36" customHeight="1">
      <c r="A1" s="23" t="inlineStr">
        <is>
          <t>WealthPilot 360 — Financial Goals</t>
        </is>
      </c>
    </row>
    <row r="2" ht="20" customHeight="1">
      <c r="A2" s="2" t="inlineStr">
        <is>
          <t>Car, education, emergency fund &amp; life goals tracker</t>
        </is>
      </c>
    </row>
    <row r="4" ht="30" customHeight="1">
      <c r="A4" s="24" t="inlineStr">
        <is>
          <t>Goal Name</t>
        </is>
      </c>
      <c r="B4" s="24" t="inlineStr">
        <is>
          <t>Category</t>
        </is>
      </c>
      <c r="C4" s="24" t="inlineStr">
        <is>
          <t>Target Amount (₹)</t>
        </is>
      </c>
      <c r="D4" s="24" t="inlineStr">
        <is>
          <t>Saved So Far (₹)</t>
        </is>
      </c>
      <c r="E4" s="24" t="inlineStr">
        <is>
          <t>Remaining (₹)</t>
        </is>
      </c>
      <c r="F4" s="24" t="inlineStr">
        <is>
          <t>Progress (%)</t>
        </is>
      </c>
      <c r="G4" s="24" t="inlineStr">
        <is>
          <t>Target Date</t>
        </is>
      </c>
      <c r="H4" s="24" t="inlineStr">
        <is>
          <t>Days Left</t>
        </is>
      </c>
      <c r="I4" s="24" t="inlineStr">
        <is>
          <t>User ID</t>
        </is>
      </c>
    </row>
    <row r="5">
      <c r="A5" s="19" t="inlineStr">
        <is>
          <t>Buy New Car</t>
        </is>
      </c>
      <c r="B5" s="19" t="inlineStr">
        <is>
          <t>Car</t>
        </is>
      </c>
      <c r="C5" s="19" t="n">
        <v>1500000</v>
      </c>
      <c r="D5" s="19" t="n">
        <v>280000</v>
      </c>
      <c r="E5" s="28">
        <f>C5-D5</f>
        <v/>
      </c>
      <c r="F5" s="29">
        <f>IF(C5&gt;0,D5/C5,0)</f>
        <v/>
      </c>
      <c r="G5" s="19" t="inlineStr">
        <is>
          <t>2028-06-28</t>
        </is>
      </c>
      <c r="H5" s="44">
        <f>IF(G5&lt;&gt;"",G5-TODAY(),"")</f>
        <v/>
      </c>
      <c r="I5" s="19" t="inlineStr">
        <is>
          <t>suman123</t>
        </is>
      </c>
    </row>
    <row r="6">
      <c r="A6" s="20" t="inlineStr">
        <is>
          <t>Children Education</t>
        </is>
      </c>
      <c r="B6" s="20" t="inlineStr">
        <is>
          <t>Education</t>
        </is>
      </c>
      <c r="C6" s="20" t="n">
        <v>3000000</v>
      </c>
      <c r="D6" s="20" t="n">
        <v>450000</v>
      </c>
      <c r="E6" s="30">
        <f>C6-D6</f>
        <v/>
      </c>
      <c r="F6" s="31">
        <f>IF(C6&gt;0,D6/C6,0)</f>
        <v/>
      </c>
      <c r="G6" s="20" t="inlineStr">
        <is>
          <t>2034-06-28</t>
        </is>
      </c>
      <c r="H6" s="45">
        <f>IF(G6&lt;&gt;"",G6-TODAY(),"")</f>
        <v/>
      </c>
      <c r="I6" s="20" t="inlineStr">
        <is>
          <t>suman123</t>
        </is>
      </c>
    </row>
    <row r="7">
      <c r="A7" s="19" t="inlineStr">
        <is>
          <t>Emergency Fund</t>
        </is>
      </c>
      <c r="B7" s="19" t="inlineStr">
        <is>
          <t>Emergency Fund</t>
        </is>
      </c>
      <c r="C7" s="19" t="n">
        <v>600000</v>
      </c>
      <c r="D7" s="19" t="n">
        <v>200000</v>
      </c>
      <c r="E7" s="28">
        <f>C7-D7</f>
        <v/>
      </c>
      <c r="F7" s="29">
        <f>IF(C7&gt;0,D7/C7,0)</f>
        <v/>
      </c>
      <c r="G7" s="19" t="inlineStr">
        <is>
          <t>2027-06-28</t>
        </is>
      </c>
      <c r="H7" s="44">
        <f>IF(G7&lt;&gt;"",G7-TODAY(),"")</f>
        <v/>
      </c>
      <c r="I7" s="19" t="inlineStr">
        <is>
          <t>suman123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6" customWidth="1" min="5" max="5"/>
    <col width="16" customWidth="1" min="6" max="6"/>
    <col width="12" customWidth="1" min="7" max="7"/>
    <col width="20" customWidth="1" min="8" max="8"/>
  </cols>
  <sheetData>
    <row r="1" ht="36" customHeight="1">
      <c r="A1" s="17" t="inlineStr">
        <is>
          <t>WealthPilot 360 — Document Vault</t>
        </is>
      </c>
    </row>
    <row r="2" ht="20" customHeight="1">
      <c r="A2" s="2" t="inlineStr">
        <is>
          <t>Passport, PAN, Aadhaar, Driving Licence &amp; important docs</t>
        </is>
      </c>
    </row>
    <row r="4" ht="30" customHeight="1">
      <c r="A4" s="41" t="inlineStr">
        <is>
          <t>Document Name</t>
        </is>
      </c>
      <c r="B4" s="41" t="inlineStr">
        <is>
          <t>Type</t>
        </is>
      </c>
      <c r="C4" s="41" t="inlineStr">
        <is>
          <t>Number / ID</t>
        </is>
      </c>
      <c r="D4" s="41" t="inlineStr">
        <is>
          <t>Expiry Date</t>
        </is>
      </c>
      <c r="E4" s="41" t="inlineStr">
        <is>
          <t>Days to Expiry</t>
        </is>
      </c>
      <c r="F4" s="41" t="inlineStr">
        <is>
          <t>Storage Location</t>
        </is>
      </c>
      <c r="G4" s="41" t="inlineStr">
        <is>
          <t>User ID</t>
        </is>
      </c>
      <c r="H4" s="41" t="inlineStr">
        <is>
          <t>Notes</t>
        </is>
      </c>
    </row>
    <row r="5">
      <c r="A5" s="19" t="inlineStr">
        <is>
          <t>Passport</t>
        </is>
      </c>
      <c r="B5" s="19" t="inlineStr">
        <is>
          <t>Passport</t>
        </is>
      </c>
      <c r="C5" s="19" t="inlineStr">
        <is>
          <t>A1234567</t>
        </is>
      </c>
      <c r="D5" s="19" t="inlineStr">
        <is>
          <t>2027-08-02</t>
        </is>
      </c>
      <c r="E5" s="44">
        <f>IF(D5&lt;&gt;"",D5-TODAY(),"")</f>
        <v/>
      </c>
      <c r="F5" s="19" t="inlineStr">
        <is>
          <t>Home Safe</t>
        </is>
      </c>
      <c r="G5" s="19" t="inlineStr">
        <is>
          <t>suman123</t>
        </is>
      </c>
      <c r="H5" s="19" t="inlineStr"/>
    </row>
    <row r="6">
      <c r="A6" s="20" t="inlineStr">
        <is>
          <t>PAN Card</t>
        </is>
      </c>
      <c r="B6" s="20" t="inlineStr">
        <is>
          <t>PAN Card</t>
        </is>
      </c>
      <c r="C6" s="20" t="inlineStr">
        <is>
          <t>ABCDE1234F</t>
        </is>
      </c>
      <c r="D6" s="20" t="inlineStr"/>
      <c r="E6" s="45">
        <f>IF(D6&lt;&gt;"",D6-TODAY(),"")</f>
        <v/>
      </c>
      <c r="F6" s="20" t="inlineStr">
        <is>
          <t>Wallet</t>
        </is>
      </c>
      <c r="G6" s="20" t="inlineStr">
        <is>
          <t>suman123</t>
        </is>
      </c>
      <c r="H6" s="20" t="inlineStr"/>
    </row>
    <row r="7">
      <c r="A7" s="19" t="inlineStr">
        <is>
          <t>Aadhaar Card</t>
        </is>
      </c>
      <c r="B7" s="19" t="inlineStr">
        <is>
          <t>Aadhaar Card</t>
        </is>
      </c>
      <c r="C7" s="19" t="inlineStr">
        <is>
          <t>XXXX-XXXX-4567</t>
        </is>
      </c>
      <c r="D7" s="19" t="inlineStr"/>
      <c r="E7" s="44">
        <f>IF(D7&lt;&gt;"",D7-TODAY(),"")</f>
        <v/>
      </c>
      <c r="F7" s="19" t="inlineStr">
        <is>
          <t>Wallet</t>
        </is>
      </c>
      <c r="G7" s="19" t="inlineStr">
        <is>
          <t>suman123</t>
        </is>
      </c>
      <c r="H7" s="19" t="inlineStr"/>
    </row>
    <row r="8">
      <c r="A8" s="20" t="inlineStr">
        <is>
          <t>Driving Licence</t>
        </is>
      </c>
      <c r="B8" s="20" t="inlineStr">
        <is>
          <t>Driving Licence</t>
        </is>
      </c>
      <c r="C8" s="20" t="inlineStr">
        <is>
          <t>WB-0120190012345</t>
        </is>
      </c>
      <c r="D8" s="20" t="inlineStr">
        <is>
          <t>2028-09-05</t>
        </is>
      </c>
      <c r="E8" s="45">
        <f>IF(D8&lt;&gt;"",D8-TODAY(),"")</f>
        <v/>
      </c>
      <c r="F8" s="20" t="inlineStr">
        <is>
          <t>Wallet</t>
        </is>
      </c>
      <c r="G8" s="20" t="inlineStr">
        <is>
          <t>suman123</t>
        </is>
      </c>
      <c r="H8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6" customWidth="1" min="5" max="5"/>
    <col width="16" customWidth="1" min="6" max="6"/>
    <col width="14" customWidth="1" min="7" max="7"/>
    <col width="24" customWidth="1" min="8" max="8"/>
  </cols>
  <sheetData>
    <row r="1" ht="36" customHeight="1">
      <c r="A1" s="1" t="inlineStr">
        <is>
          <t>WealthPilot 360 — Family Office</t>
        </is>
      </c>
    </row>
    <row r="2" ht="20" customHeight="1">
      <c r="A2" s="2" t="inlineStr">
        <is>
          <t>Family members &amp; their financial overview</t>
        </is>
      </c>
    </row>
    <row r="4" ht="30" customHeight="1">
      <c r="A4" s="18" t="inlineStr">
        <is>
          <t>Member Name</t>
        </is>
      </c>
      <c r="B4" s="18" t="inlineStr">
        <is>
          <t>Relation</t>
        </is>
      </c>
      <c r="C4" s="18" t="inlineStr">
        <is>
          <t>Date of Birth</t>
        </is>
      </c>
      <c r="D4" s="18" t="inlineStr">
        <is>
          <t>Age</t>
        </is>
      </c>
      <c r="E4" s="18" t="inlineStr">
        <is>
          <t>PAN</t>
        </is>
      </c>
      <c r="F4" s="18" t="inlineStr">
        <is>
          <t>Aadhaar (last 4)</t>
        </is>
      </c>
      <c r="G4" s="18" t="inlineStr">
        <is>
          <t>Primary User ID</t>
        </is>
      </c>
      <c r="H4" s="18" t="inlineStr">
        <is>
          <t>Notes</t>
        </is>
      </c>
    </row>
    <row r="5">
      <c r="A5" s="19" t="inlineStr">
        <is>
          <t>Suman</t>
        </is>
      </c>
      <c r="B5" s="19" t="inlineStr">
        <is>
          <t>Self</t>
        </is>
      </c>
      <c r="C5" s="19" t="inlineStr"/>
      <c r="D5" s="19" t="inlineStr"/>
      <c r="E5" s="19" t="inlineStr"/>
      <c r="F5" s="19" t="inlineStr"/>
      <c r="G5" s="19" t="inlineStr">
        <is>
          <t>suman123</t>
        </is>
      </c>
      <c r="H5" s="19" t="inlineStr"/>
    </row>
    <row r="6">
      <c r="A6" s="20" t="inlineStr">
        <is>
          <t>Spouse</t>
        </is>
      </c>
      <c r="B6" s="20" t="inlineStr">
        <is>
          <t>Spouse</t>
        </is>
      </c>
      <c r="C6" s="20" t="inlineStr"/>
      <c r="D6" s="20" t="inlineStr"/>
      <c r="E6" s="20" t="inlineStr"/>
      <c r="F6" s="20" t="inlineStr"/>
      <c r="G6" s="20" t="inlineStr">
        <is>
          <t>suman123</t>
        </is>
      </c>
      <c r="H6" s="20" t="inlineStr"/>
    </row>
    <row r="7">
      <c r="A7" s="19" t="inlineStr">
        <is>
          <t>Father</t>
        </is>
      </c>
      <c r="B7" s="19" t="inlineStr">
        <is>
          <t>Father</t>
        </is>
      </c>
      <c r="C7" s="19" t="inlineStr"/>
      <c r="D7" s="19" t="inlineStr"/>
      <c r="E7" s="19" t="inlineStr"/>
      <c r="F7" s="19" t="inlineStr"/>
      <c r="G7" s="19" t="inlineStr">
        <is>
          <t>suman123</t>
        </is>
      </c>
      <c r="H7" s="19" t="inlineStr"/>
    </row>
    <row r="8">
      <c r="A8" s="20" t="inlineStr">
        <is>
          <t>Mother</t>
        </is>
      </c>
      <c r="B8" s="20" t="inlineStr">
        <is>
          <t>Mother</t>
        </is>
      </c>
      <c r="C8" s="20" t="inlineStr"/>
      <c r="D8" s="20" t="inlineStr"/>
      <c r="E8" s="20" t="inlineStr"/>
      <c r="F8" s="20" t="inlineStr"/>
      <c r="G8" s="20" t="inlineStr">
        <is>
          <t>suman123</t>
        </is>
      </c>
      <c r="H8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 ht="36" customHeight="1">
      <c r="A1" s="38" t="inlineStr">
        <is>
          <t>WealthPilot 360 — Budget Planner</t>
        </is>
      </c>
    </row>
    <row r="2" ht="20" customHeight="1">
      <c r="A2" s="2" t="inlineStr">
        <is>
          <t>Monthly budget vs actual spending by category</t>
        </is>
      </c>
    </row>
    <row r="4" ht="30" customHeight="1">
      <c r="A4" s="39" t="inlineStr">
        <is>
          <t>Category</t>
        </is>
      </c>
      <c r="B4" s="39" t="inlineStr">
        <is>
          <t>Budget Amount (₹)</t>
        </is>
      </c>
      <c r="C4" s="39" t="inlineStr">
        <is>
          <t>Actual Spent (₹)</t>
        </is>
      </c>
      <c r="D4" s="39" t="inlineStr">
        <is>
          <t>Remaining (₹)</t>
        </is>
      </c>
      <c r="E4" s="39" t="inlineStr">
        <is>
          <t>Used (%)</t>
        </is>
      </c>
      <c r="F4" s="39" t="inlineStr">
        <is>
          <t>Status</t>
        </is>
      </c>
      <c r="G4" s="39" t="inlineStr">
        <is>
          <t>User ID</t>
        </is>
      </c>
    </row>
    <row r="5">
      <c r="A5" s="19" t="inlineStr">
        <is>
          <t>Food</t>
        </is>
      </c>
      <c r="B5" s="19" t="n">
        <v>12000</v>
      </c>
      <c r="C5" s="19" t="n">
        <v>0</v>
      </c>
      <c r="D5" s="28">
        <f>B5-C5</f>
        <v/>
      </c>
      <c r="E5" s="29">
        <f>IF(B5&gt;0,C5/B5,0)</f>
        <v/>
      </c>
      <c r="F5" s="19">
        <f>IF(E5&gt;1,"⚠️ Over Budget",IF(E5&gt;0.8,"🔶 Near Limit","✅ On Track"))</f>
        <v/>
      </c>
      <c r="G5" s="19" t="inlineStr">
        <is>
          <t>suman123</t>
        </is>
      </c>
    </row>
    <row r="6">
      <c r="A6" s="20" t="inlineStr">
        <is>
          <t>Shopping</t>
        </is>
      </c>
      <c r="B6" s="20" t="n">
        <v>8000</v>
      </c>
      <c r="C6" s="20" t="n">
        <v>0</v>
      </c>
      <c r="D6" s="30">
        <f>B6-C6</f>
        <v/>
      </c>
      <c r="E6" s="31">
        <f>IF(B6&gt;0,C6/B6,0)</f>
        <v/>
      </c>
      <c r="F6" s="20">
        <f>IF(E6&gt;1,"⚠️ Over Budget",IF(E6&gt;0.8,"🔶 Near Limit","✅ On Track"))</f>
        <v/>
      </c>
      <c r="G6" s="20" t="inlineStr">
        <is>
          <t>suman123</t>
        </is>
      </c>
    </row>
    <row r="7">
      <c r="A7" s="19" t="inlineStr">
        <is>
          <t>Entertainment</t>
        </is>
      </c>
      <c r="B7" s="19" t="n">
        <v>3000</v>
      </c>
      <c r="C7" s="19" t="n">
        <v>0</v>
      </c>
      <c r="D7" s="28">
        <f>B7-C7</f>
        <v/>
      </c>
      <c r="E7" s="29">
        <f>IF(B7&gt;0,C7/B7,0)</f>
        <v/>
      </c>
      <c r="F7" s="19">
        <f>IF(E7&gt;1,"⚠️ Over Budget",IF(E7&gt;0.8,"🔶 Near Limit","✅ On Track"))</f>
        <v/>
      </c>
      <c r="G7" s="19" t="inlineStr">
        <is>
          <t>suman123</t>
        </is>
      </c>
    </row>
    <row r="8">
      <c r="A8" s="20" t="inlineStr">
        <is>
          <t>Travel</t>
        </is>
      </c>
      <c r="B8" s="20" t="n">
        <v>5000</v>
      </c>
      <c r="C8" s="20" t="n">
        <v>0</v>
      </c>
      <c r="D8" s="30">
        <f>B8-C8</f>
        <v/>
      </c>
      <c r="E8" s="31">
        <f>IF(B8&gt;0,C8/B8,0)</f>
        <v/>
      </c>
      <c r="F8" s="20">
        <f>IF(E8&gt;1,"⚠️ Over Budget",IF(E8&gt;0.8,"🔶 Near Limit","✅ On Track"))</f>
        <v/>
      </c>
      <c r="G8" s="20" t="inlineStr">
        <is>
          <t>suman123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2026-06-28T09:58:24Z</dcterms:created>
  <dcterms:modified xmlns:dcterms="http://purl.org/dc/terms/" xmlns:xsi="http://www.w3.org/2001/XMLSchema-instance" xsi:type="dcterms:W3CDTF">2026-06-28T09:58:24Z</dcterms:modified>
</cp:coreProperties>
</file>